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to\Desktop\Excell\"/>
    </mc:Choice>
  </mc:AlternateContent>
  <xr:revisionPtr revIDLastSave="0" documentId="13_ncr:1_{08B3689E-C23C-42DF-BD15-EE417614E649}" xr6:coauthVersionLast="47" xr6:coauthVersionMax="47" xr10:uidLastSave="{00000000-0000-0000-0000-000000000000}"/>
  <bookViews>
    <workbookView xWindow="-120" yWindow="-120" windowWidth="20730" windowHeight="11760" activeTab="1" xr2:uid="{7B4D6960-D1B9-4B3C-8472-E230F797E872}"/>
  </bookViews>
  <sheets>
    <sheet name="Sheet4" sheetId="4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1" l="1"/>
  <c r="I20" i="1"/>
  <c r="I24" i="1"/>
  <c r="I3" i="1"/>
  <c r="I42" i="1"/>
  <c r="I4" i="1"/>
  <c r="I45" i="1"/>
  <c r="I18" i="1"/>
  <c r="I35" i="1"/>
  <c r="I10" i="1"/>
  <c r="I34" i="1"/>
  <c r="I40" i="1"/>
  <c r="I29" i="1"/>
  <c r="I43" i="1"/>
  <c r="I38" i="1"/>
  <c r="I49" i="1"/>
  <c r="I14" i="1"/>
  <c r="I36" i="1"/>
  <c r="I2" i="1"/>
  <c r="I48" i="1"/>
  <c r="I21" i="1"/>
  <c r="I37" i="1"/>
  <c r="I26" i="1"/>
  <c r="I5" i="1"/>
  <c r="I47" i="1"/>
  <c r="I16" i="1"/>
  <c r="I17" i="1"/>
  <c r="I15" i="1"/>
  <c r="I33" i="1"/>
  <c r="I41" i="1"/>
  <c r="I11" i="1"/>
  <c r="I32" i="1"/>
  <c r="I12" i="1"/>
  <c r="I31" i="1"/>
  <c r="I46" i="1"/>
  <c r="I8" i="1"/>
  <c r="I19" i="1"/>
  <c r="I7" i="1"/>
  <c r="I25" i="1"/>
  <c r="I13" i="1"/>
  <c r="I44" i="1"/>
  <c r="I6" i="1"/>
  <c r="I22" i="1"/>
  <c r="I50" i="1"/>
  <c r="I9" i="1"/>
  <c r="I23" i="1"/>
  <c r="I39" i="1"/>
  <c r="I30" i="1"/>
  <c r="I27" i="1"/>
  <c r="B58" i="1"/>
  <c r="B16" i="1" s="1"/>
  <c r="J16" i="1" s="1"/>
  <c r="B57" i="1"/>
  <c r="B28" i="1" s="1"/>
  <c r="J28" i="1" s="1"/>
  <c r="B56" i="1"/>
  <c r="B47" i="1" s="1"/>
  <c r="J47" i="1" s="1"/>
  <c r="B55" i="1"/>
  <c r="B12" i="1" s="1"/>
  <c r="B54" i="1"/>
  <c r="B35" i="1" s="1"/>
  <c r="B3" i="4"/>
  <c r="B4" i="4"/>
  <c r="B5" i="4"/>
  <c r="B6" i="4"/>
  <c r="B2" i="4"/>
  <c r="D28" i="1"/>
  <c r="D20" i="1"/>
  <c r="D24" i="1"/>
  <c r="D3" i="1"/>
  <c r="D42" i="1"/>
  <c r="D4" i="1"/>
  <c r="D45" i="1"/>
  <c r="D18" i="1"/>
  <c r="D35" i="1"/>
  <c r="J35" i="1" s="1"/>
  <c r="D10" i="1"/>
  <c r="D34" i="1"/>
  <c r="D40" i="1"/>
  <c r="D29" i="1"/>
  <c r="D43" i="1"/>
  <c r="D38" i="1"/>
  <c r="D49" i="1"/>
  <c r="D14" i="1"/>
  <c r="D36" i="1"/>
  <c r="D2" i="1"/>
  <c r="D48" i="1"/>
  <c r="D21" i="1"/>
  <c r="D37" i="1"/>
  <c r="D26" i="1"/>
  <c r="D5" i="1"/>
  <c r="D47" i="1"/>
  <c r="D16" i="1"/>
  <c r="D17" i="1"/>
  <c r="D15" i="1"/>
  <c r="D33" i="1"/>
  <c r="D41" i="1"/>
  <c r="D11" i="1"/>
  <c r="D32" i="1"/>
  <c r="D12" i="1"/>
  <c r="J12" i="1" s="1"/>
  <c r="D31" i="1"/>
  <c r="D46" i="1"/>
  <c r="D8" i="1"/>
  <c r="D19" i="1"/>
  <c r="D7" i="1"/>
  <c r="D25" i="1"/>
  <c r="D13" i="1"/>
  <c r="D44" i="1"/>
  <c r="D6" i="1"/>
  <c r="D22" i="1"/>
  <c r="D50" i="1"/>
  <c r="D9" i="1"/>
  <c r="D23" i="1"/>
  <c r="D39" i="1"/>
  <c r="D30" i="1"/>
  <c r="D27" i="1"/>
  <c r="B19" i="1" l="1"/>
  <c r="J19" i="1" s="1"/>
  <c r="B8" i="1"/>
  <c r="J8" i="1" s="1"/>
  <c r="B32" i="1"/>
  <c r="J32" i="1" s="1"/>
  <c r="B7" i="1"/>
  <c r="J7" i="1" s="1"/>
  <c r="B29" i="1"/>
  <c r="J29" i="1" s="1"/>
  <c r="B41" i="1"/>
  <c r="J41" i="1" s="1"/>
  <c r="B15" i="1"/>
  <c r="J15" i="1" s="1"/>
  <c r="B23" i="1"/>
  <c r="J23" i="1" s="1"/>
  <c r="B21" i="1"/>
  <c r="J21" i="1" s="1"/>
  <c r="B9" i="1"/>
  <c r="J9" i="1" s="1"/>
  <c r="B43" i="1"/>
  <c r="J43" i="1" s="1"/>
  <c r="B37" i="1"/>
  <c r="J37" i="1" s="1"/>
  <c r="B30" i="1"/>
  <c r="J30" i="1" s="1"/>
  <c r="B13" i="1"/>
  <c r="J13" i="1" s="1"/>
  <c r="B5" i="1"/>
  <c r="J5" i="1" s="1"/>
  <c r="B49" i="1"/>
  <c r="J49" i="1" s="1"/>
  <c r="B18" i="1"/>
  <c r="J18" i="1" s="1"/>
  <c r="B39" i="1"/>
  <c r="J39" i="1" s="1"/>
  <c r="B25" i="1"/>
  <c r="J25" i="1" s="1"/>
  <c r="B11" i="1"/>
  <c r="J11" i="1" s="1"/>
  <c r="B26" i="1"/>
  <c r="J26" i="1" s="1"/>
  <c r="B38" i="1"/>
  <c r="J38" i="1" s="1"/>
  <c r="B45" i="1"/>
  <c r="J45" i="1" s="1"/>
  <c r="B4" i="1"/>
  <c r="J4" i="1" s="1"/>
  <c r="B42" i="1"/>
  <c r="J42" i="1" s="1"/>
  <c r="B3" i="1"/>
  <c r="J3" i="1" s="1"/>
  <c r="B50" i="1"/>
  <c r="J50" i="1" s="1"/>
  <c r="B48" i="1"/>
  <c r="J48" i="1" s="1"/>
  <c r="B40" i="1"/>
  <c r="J40" i="1" s="1"/>
  <c r="B22" i="1"/>
  <c r="J22" i="1" s="1"/>
  <c r="B46" i="1"/>
  <c r="J46" i="1" s="1"/>
  <c r="B17" i="1"/>
  <c r="J17" i="1" s="1"/>
  <c r="B2" i="1"/>
  <c r="J2" i="1" s="1"/>
  <c r="B34" i="1"/>
  <c r="J34" i="1" s="1"/>
  <c r="B24" i="1"/>
  <c r="J24" i="1" s="1"/>
  <c r="B33" i="1"/>
  <c r="J33" i="1" s="1"/>
  <c r="B6" i="1"/>
  <c r="J6" i="1" s="1"/>
  <c r="B31" i="1"/>
  <c r="J31" i="1" s="1"/>
  <c r="B36" i="1"/>
  <c r="J36" i="1" s="1"/>
  <c r="B10" i="1"/>
  <c r="J10" i="1" s="1"/>
  <c r="B20" i="1"/>
  <c r="J20" i="1" s="1"/>
  <c r="B27" i="1"/>
  <c r="J27" i="1" s="1"/>
  <c r="B44" i="1"/>
  <c r="J44" i="1" s="1"/>
  <c r="B14" i="1"/>
  <c r="J14" i="1" s="1"/>
</calcChain>
</file>

<file path=xl/sharedStrings.xml><?xml version="1.0" encoding="utf-8"?>
<sst xmlns="http://schemas.openxmlformats.org/spreadsheetml/2006/main" count="268" uniqueCount="112">
  <si>
    <t>body</t>
  </si>
  <si>
    <t>vin</t>
  </si>
  <si>
    <t>state</t>
  </si>
  <si>
    <t>color</t>
  </si>
  <si>
    <t>sellingprice</t>
  </si>
  <si>
    <t>SUV</t>
  </si>
  <si>
    <t>5xyktca69fg566472</t>
  </si>
  <si>
    <t>ca</t>
  </si>
  <si>
    <t>white</t>
  </si>
  <si>
    <t>black</t>
  </si>
  <si>
    <t>Tue Dec 16 2014 12:30:00 GMT-0800 (PST)</t>
  </si>
  <si>
    <t>5xyktca69fg561319</t>
  </si>
  <si>
    <t>beige</t>
  </si>
  <si>
    <t>Sedan</t>
  </si>
  <si>
    <t>wba3c1c51ek116351</t>
  </si>
  <si>
    <t>gray</t>
  </si>
  <si>
    <t>Thu Jan 15 2015 04:30:00 GMT-0800 (PST)</t>
  </si>
  <si>
    <t>yv1612tb4f1310987</t>
  </si>
  <si>
    <t>Thu Jan 29 2015 04:30:00 GMT-0800 (PST)</t>
  </si>
  <si>
    <t>wba6b2c57ed129731</t>
  </si>
  <si>
    <t>Thu Dec 18 2014 12:30:00 GMT-0800 (PST)</t>
  </si>
  <si>
    <t>1n4al3ap1fn326013</t>
  </si>
  <si>
    <t>Tue Dec 30 2014 12:00:00 GMT-0800 (PST)</t>
  </si>
  <si>
    <t>wbsfv9c51ed593089</t>
  </si>
  <si>
    <t>Wed Dec 17 2014 12:30:00 GMT-0800 (PST)</t>
  </si>
  <si>
    <t>1g1pc5sb2e7128460</t>
  </si>
  <si>
    <t>Tue Dec 16 2014 13:00:00 GMT-0800 (PST)</t>
  </si>
  <si>
    <t>wauffafl3en030343</t>
  </si>
  <si>
    <t>Thu Dec 18 2014 12:00:00 GMT-0800 (PST)</t>
  </si>
  <si>
    <t>Convertible</t>
  </si>
  <si>
    <t>2g1fb3d37e9218789</t>
  </si>
  <si>
    <t>red</t>
  </si>
  <si>
    <t>Tue Jan 20 2015 04:00:00 GMT-0800 (PST)</t>
  </si>
  <si>
    <t>wauhgafc0en062916</t>
  </si>
  <si>
    <t>5xxgm4a73fg353538</t>
  </si>
  <si>
    <t>Tue Dec 16 2014 12:00:00 GMT-0800 (PST)</t>
  </si>
  <si>
    <t>3fa6p0hdxfr145753</t>
  </si>
  <si>
    <t>Tue Jan 13 2015 12:00:00 GMT-0800 (PST)</t>
  </si>
  <si>
    <t>5xyktca66fg561407</t>
  </si>
  <si>
    <t>silver</t>
  </si>
  <si>
    <t>1g1pe5sbxe7120097</t>
  </si>
  <si>
    <t>blue</t>
  </si>
  <si>
    <t>1n4al3ap5fc124223</t>
  </si>
  <si>
    <t>Tue Dec 23 2014 12:00:00 GMT-0800 (PST)</t>
  </si>
  <si>
    <t>5npe24af4fh001562</t>
  </si>
  <si>
    <t>wa1lfafpxea085074</t>
  </si>
  <si>
    <t>Coupe</t>
  </si>
  <si>
    <t>2g1fa1e39e9134494</t>
  </si>
  <si>
    <t>Tue Dec 30 2014 15:00:00 GMT-0800 (PST)</t>
  </si>
  <si>
    <t>wbayp9c53ed169260</t>
  </si>
  <si>
    <t>2g1165s30f9103921</t>
  </si>
  <si>
    <t>Tue Jul 07 2015 09:30:00 GMT-0700 (PDT)</t>
  </si>
  <si>
    <t>wba5a5c51ed501631</t>
  </si>
  <si>
    <t>Tue Feb 03 2015 04:30:00 GMT-0800 (PST)</t>
  </si>
  <si>
    <t>2g1fb3d31e9134662</t>
  </si>
  <si>
    <t>wauacgff7f1002327</t>
  </si>
  <si>
    <t>wbayp9c57ed169262</t>
  </si>
  <si>
    <t>Tue Jan 06 2015 12:30:00 GMT-0800 (PST)</t>
  </si>
  <si>
    <t>5npe24af4fh038482</t>
  </si>
  <si>
    <t>Wagon</t>
  </si>
  <si>
    <t>yv4902nb3f1198103</t>
  </si>
  <si>
    <t>brown</t>
  </si>
  <si>
    <t>Thu Feb 26 2015 04:30:00 GMT-0800 (PST)</t>
  </si>
  <si>
    <t>yv4902nb3f1196951</t>
  </si>
  <si>
    <t>Thu Feb 12 2015 04:30:00 GMT-0800 (PST)</t>
  </si>
  <si>
    <t>5uxkr2c52e0h33130</t>
  </si>
  <si>
    <t>2g1fb1e35e9238302</t>
  </si>
  <si>
    <t>1g1pc5sb2e7105471</t>
  </si>
  <si>
    <t>Tue Dec 30 2014 12:30:00 GMT-0800 (PST)</t>
  </si>
  <si>
    <t>wa1cgafp4ea030312</t>
  </si>
  <si>
    <t>Thu Jan 29 2015 04:00:00 GMT-0800 (PST)</t>
  </si>
  <si>
    <t>5xyktca60fg565226</t>
  </si>
  <si>
    <t>waucgafrxea001689</t>
  </si>
  <si>
    <t>5xyktca68fg559481</t>
  </si>
  <si>
    <t>1g4pr5sk8e4175320</t>
  </si>
  <si>
    <t>Tue Jan 06 2015 04:00:00 GMT-0800 (PST)</t>
  </si>
  <si>
    <t>1gnskkkc3fr187901</t>
  </si>
  <si>
    <t>wba3c1c50ek108497</t>
  </si>
  <si>
    <t>wbsfv9c56ed593069</t>
  </si>
  <si>
    <t>Tue Jan 13 2015 04:30:00 GMT-0800 (PST)</t>
  </si>
  <si>
    <t>wba3c1c58ek106688</t>
  </si>
  <si>
    <t>1g6rr1e48eu601450</t>
  </si>
  <si>
    <t>Wed Feb 04 2015 04:30:00 GMT-0800 (PST)</t>
  </si>
  <si>
    <t>5npe24af2fh014813</t>
  </si>
  <si>
    <t>wbayp9c50ed169281</t>
  </si>
  <si>
    <t>Tue Jan 06 2015 04:30:00 GMT-0800 (PST)</t>
  </si>
  <si>
    <t>yv1612sb9f1202043</t>
  </si>
  <si>
    <t>1g1pc5sb6e7128803</t>
  </si>
  <si>
    <t>5uxfg2c53e0h11080</t>
  </si>
  <si>
    <t>yv1612sb1f1201503</t>
  </si>
  <si>
    <t>1g1pe5sb6e7118217</t>
  </si>
  <si>
    <t>Thu Jan 22 2015 03:30:00 GMT-0800 (PST)</t>
  </si>
  <si>
    <t>19vde1f70ee008913</t>
  </si>
  <si>
    <t>Row Labels</t>
  </si>
  <si>
    <t>Grand Total</t>
  </si>
  <si>
    <t>body initials(3 first letters)</t>
  </si>
  <si>
    <t>vin initials(3 first letters)</t>
  </si>
  <si>
    <t>sale date</t>
  </si>
  <si>
    <t>sale datetime</t>
  </si>
  <si>
    <t>#should be in alphabetical order!</t>
  </si>
  <si>
    <t>fl</t>
  </si>
  <si>
    <t>tx</t>
  </si>
  <si>
    <t>mo</t>
  </si>
  <si>
    <t>tn</t>
  </si>
  <si>
    <t>nj</t>
  </si>
  <si>
    <t>la</t>
  </si>
  <si>
    <t>co</t>
  </si>
  <si>
    <t>oh</t>
  </si>
  <si>
    <t>pa</t>
  </si>
  <si>
    <t>ma</t>
  </si>
  <si>
    <t>md</t>
  </si>
  <si>
    <t>body+vin+year+state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</si>
</sst>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textRotation="90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gusto" refreshedDate="45678.949464120371" createdVersion="7" refreshedVersion="7" minRefreshableVersion="3" recordCount="47" xr:uid="{0D7DF856-9E75-4652-82BF-8F1D9755865B}">
  <cacheSource type="worksheet">
    <worksheetSource ref="A3:A50" sheet="Sheet1"/>
  </cacheSource>
  <cacheFields count="1">
    <cacheField name="SUV" numFmtId="0">
      <sharedItems count="5">
        <s v="Sedan"/>
        <s v="Convertible"/>
        <s v="SUV"/>
        <s v="Coupe"/>
        <s v="Wag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2"/>
  </r>
  <r>
    <x v="3"/>
  </r>
  <r>
    <x v="1"/>
  </r>
  <r>
    <x v="0"/>
  </r>
  <r>
    <x v="0"/>
  </r>
  <r>
    <x v="1"/>
  </r>
  <r>
    <x v="0"/>
  </r>
  <r>
    <x v="1"/>
  </r>
  <r>
    <x v="0"/>
  </r>
  <r>
    <x v="4"/>
  </r>
  <r>
    <x v="4"/>
  </r>
  <r>
    <x v="2"/>
  </r>
  <r>
    <x v="3"/>
  </r>
  <r>
    <x v="0"/>
  </r>
  <r>
    <x v="2"/>
  </r>
  <r>
    <x v="2"/>
  </r>
  <r>
    <x v="3"/>
  </r>
  <r>
    <x v="2"/>
  </r>
  <r>
    <x v="0"/>
  </r>
  <r>
    <x v="2"/>
  </r>
  <r>
    <x v="0"/>
  </r>
  <r>
    <x v="0"/>
  </r>
  <r>
    <x v="0"/>
  </r>
  <r>
    <x v="3"/>
  </r>
  <r>
    <x v="0"/>
  </r>
  <r>
    <x v="1"/>
  </r>
  <r>
    <x v="4"/>
  </r>
  <r>
    <x v="0"/>
  </r>
  <r>
    <x v="2"/>
  </r>
  <r>
    <x v="4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CB052-FE6E-4F4D-ADF0-FD6B5A682912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A7" firstHeaderRow="1" firstDataRow="1" firstDataCol="1"/>
  <pivotFields count="1">
    <pivotField axis="axisRow" showAll="0" sortType="ascending">
      <items count="6">
        <item x="1"/>
        <item x="3"/>
        <item x="0"/>
        <item x="2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50AB-05C4-4FB3-9547-0E867DD331DA}">
  <dimension ref="A1:B7"/>
  <sheetViews>
    <sheetView workbookViewId="0">
      <selection activeCell="A2" sqref="A2:B6"/>
    </sheetView>
  </sheetViews>
  <sheetFormatPr defaultRowHeight="15" x14ac:dyDescent="0.25"/>
  <cols>
    <col min="1" max="1" width="13.140625" bestFit="1" customWidth="1"/>
  </cols>
  <sheetData>
    <row r="1" spans="1:2" x14ac:dyDescent="0.25">
      <c r="A1" s="1" t="s">
        <v>93</v>
      </c>
    </row>
    <row r="2" spans="1:2" x14ac:dyDescent="0.25">
      <c r="A2" s="2" t="s">
        <v>29</v>
      </c>
      <c r="B2" t="str">
        <f>LEFT(A2,3)</f>
        <v>Con</v>
      </c>
    </row>
    <row r="3" spans="1:2" x14ac:dyDescent="0.25">
      <c r="A3" s="2" t="s">
        <v>46</v>
      </c>
      <c r="B3" t="str">
        <f t="shared" ref="B3:B6" si="0">LEFT(A3,3)</f>
        <v>Cou</v>
      </c>
    </row>
    <row r="4" spans="1:2" x14ac:dyDescent="0.25">
      <c r="A4" s="2" t="s">
        <v>13</v>
      </c>
      <c r="B4" t="str">
        <f t="shared" si="0"/>
        <v>Sed</v>
      </c>
    </row>
    <row r="5" spans="1:2" x14ac:dyDescent="0.25">
      <c r="A5" s="2" t="s">
        <v>5</v>
      </c>
      <c r="B5" t="str">
        <f t="shared" si="0"/>
        <v>SUV</v>
      </c>
    </row>
    <row r="6" spans="1:2" x14ac:dyDescent="0.25">
      <c r="A6" s="2" t="s">
        <v>59</v>
      </c>
      <c r="B6" t="str">
        <f t="shared" si="0"/>
        <v>Wag</v>
      </c>
    </row>
    <row r="7" spans="1:2" x14ac:dyDescent="0.25">
      <c r="A7" s="2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735B-2F4F-4666-8AAF-35C0E806697B}">
  <dimension ref="A1:J58"/>
  <sheetViews>
    <sheetView tabSelected="1" workbookViewId="0">
      <selection activeCell="J2" sqref="J2"/>
    </sheetView>
  </sheetViews>
  <sheetFormatPr defaultRowHeight="15" x14ac:dyDescent="0.25"/>
  <cols>
    <col min="1" max="1" width="13.140625" customWidth="1"/>
    <col min="2" max="2" width="12.85546875" customWidth="1"/>
    <col min="3" max="3" width="23.85546875" customWidth="1"/>
    <col min="4" max="4" width="14.42578125" customWidth="1"/>
    <col min="7" max="7" width="12" customWidth="1"/>
    <col min="8" max="8" width="38" customWidth="1"/>
    <col min="9" max="9" width="16.5703125" customWidth="1"/>
    <col min="10" max="10" width="18.7109375" customWidth="1"/>
  </cols>
  <sheetData>
    <row r="1" spans="1:10" ht="104.25" x14ac:dyDescent="0.25">
      <c r="A1" t="s">
        <v>0</v>
      </c>
      <c r="B1" s="3" t="s">
        <v>95</v>
      </c>
      <c r="C1" t="s">
        <v>1</v>
      </c>
      <c r="D1" s="3" t="s">
        <v>96</v>
      </c>
      <c r="E1" t="s">
        <v>2</v>
      </c>
      <c r="F1" t="s">
        <v>3</v>
      </c>
      <c r="G1" t="s">
        <v>4</v>
      </c>
      <c r="H1" t="s">
        <v>98</v>
      </c>
      <c r="I1" t="s">
        <v>97</v>
      </c>
      <c r="J1" s="5" t="s">
        <v>111</v>
      </c>
    </row>
    <row r="2" spans="1:10" x14ac:dyDescent="0.25">
      <c r="A2" t="s">
        <v>29</v>
      </c>
      <c r="B2" t="str">
        <f>VLOOKUP(A2,A$54:B$58,2)</f>
        <v>Con</v>
      </c>
      <c r="C2" t="s">
        <v>49</v>
      </c>
      <c r="D2" t="str">
        <f>LEFT(C2,3)</f>
        <v>wba</v>
      </c>
      <c r="E2" t="s">
        <v>104</v>
      </c>
      <c r="F2" t="s">
        <v>9</v>
      </c>
      <c r="G2" s="6">
        <v>67200</v>
      </c>
      <c r="H2" t="s">
        <v>24</v>
      </c>
      <c r="I2" s="7" t="str">
        <f>MID(H2,5,11)</f>
        <v>Dec 17 2014</v>
      </c>
      <c r="J2" t="str">
        <f>CONCATENATE(UPPER(B2),UPPER(D2),RIGHT(I2,4),UPPER(E2))</f>
        <v>CONWBA2014NJ</v>
      </c>
    </row>
    <row r="3" spans="1:10" x14ac:dyDescent="0.25">
      <c r="A3" t="s">
        <v>13</v>
      </c>
      <c r="B3" t="str">
        <f>VLOOKUP(A3,A$54:B$58,2)</f>
        <v>Sed</v>
      </c>
      <c r="C3" t="s">
        <v>19</v>
      </c>
      <c r="D3" t="str">
        <f>LEFT(C3,3)</f>
        <v>wba</v>
      </c>
      <c r="E3" t="s">
        <v>110</v>
      </c>
      <c r="F3" t="s">
        <v>15</v>
      </c>
      <c r="G3" s="6">
        <v>67000</v>
      </c>
      <c r="H3" t="s">
        <v>20</v>
      </c>
      <c r="I3" s="7" t="str">
        <f>MID(H3,5,11)</f>
        <v>Dec 18 2014</v>
      </c>
      <c r="J3" t="str">
        <f>CONCATENATE(UPPER(B3),UPPER(D3),RIGHT(I3,4),UPPER(E3))</f>
        <v>SEDWBA2014MD</v>
      </c>
    </row>
    <row r="4" spans="1:10" x14ac:dyDescent="0.25">
      <c r="A4" t="s">
        <v>13</v>
      </c>
      <c r="B4" t="str">
        <f>VLOOKUP(A4,A$54:B$58,2)</f>
        <v>Sed</v>
      </c>
      <c r="C4" t="s">
        <v>23</v>
      </c>
      <c r="D4" t="str">
        <f>LEFT(C4,3)</f>
        <v>wbs</v>
      </c>
      <c r="E4" t="s">
        <v>7</v>
      </c>
      <c r="F4" t="s">
        <v>9</v>
      </c>
      <c r="G4" s="6">
        <v>65000</v>
      </c>
      <c r="H4" t="s">
        <v>24</v>
      </c>
      <c r="I4" s="7" t="str">
        <f>MID(H4,5,11)</f>
        <v>Dec 17 2014</v>
      </c>
      <c r="J4" t="str">
        <f>CONCATENATE(UPPER(B4),UPPER(D4),RIGHT(I4,4),UPPER(E4))</f>
        <v>SEDWBS2014CA</v>
      </c>
    </row>
    <row r="5" spans="1:10" x14ac:dyDescent="0.25">
      <c r="A5" t="s">
        <v>29</v>
      </c>
      <c r="B5" t="str">
        <f>VLOOKUP(A5,A$54:B$58,2)</f>
        <v>Con</v>
      </c>
      <c r="C5" t="s">
        <v>56</v>
      </c>
      <c r="D5" t="str">
        <f>LEFT(C5,3)</f>
        <v>wba</v>
      </c>
      <c r="E5" t="s">
        <v>101</v>
      </c>
      <c r="F5" t="s">
        <v>9</v>
      </c>
      <c r="G5" s="6">
        <v>65000</v>
      </c>
      <c r="H5" t="s">
        <v>57</v>
      </c>
      <c r="I5" s="7" t="str">
        <f>MID(H5,5,11)</f>
        <v>Jan 06 2015</v>
      </c>
      <c r="J5" t="str">
        <f>CONCATENATE(UPPER(B5),UPPER(D5),RIGHT(I5,4),UPPER(E5))</f>
        <v>CONWBA2015TX</v>
      </c>
    </row>
    <row r="6" spans="1:10" x14ac:dyDescent="0.25">
      <c r="A6" t="s">
        <v>29</v>
      </c>
      <c r="B6" t="str">
        <f>VLOOKUP(A6,A$54:B$58,2)</f>
        <v>Con</v>
      </c>
      <c r="C6" t="s">
        <v>84</v>
      </c>
      <c r="D6" t="str">
        <f>LEFT(C6,3)</f>
        <v>wba</v>
      </c>
      <c r="E6" t="s">
        <v>7</v>
      </c>
      <c r="F6" t="s">
        <v>8</v>
      </c>
      <c r="G6" s="6">
        <v>65000</v>
      </c>
      <c r="H6" t="s">
        <v>85</v>
      </c>
      <c r="I6" s="7" t="str">
        <f>MID(H6,5,11)</f>
        <v>Jan 06 2015</v>
      </c>
      <c r="J6" t="str">
        <f>CONCATENATE(UPPER(B6),UPPER(D6),RIGHT(I6,4),UPPER(E6))</f>
        <v>CONWBA2015CA</v>
      </c>
    </row>
    <row r="7" spans="1:10" x14ac:dyDescent="0.25">
      <c r="A7" t="s">
        <v>13</v>
      </c>
      <c r="B7" t="str">
        <f>VLOOKUP(A7,A$54:B$58,2)</f>
        <v>Sed</v>
      </c>
      <c r="C7" t="s">
        <v>78</v>
      </c>
      <c r="D7" t="str">
        <f>LEFT(C7,3)</f>
        <v>wbs</v>
      </c>
      <c r="E7" t="s">
        <v>108</v>
      </c>
      <c r="F7" t="s">
        <v>9</v>
      </c>
      <c r="G7" s="6">
        <v>64250</v>
      </c>
      <c r="H7" t="s">
        <v>79</v>
      </c>
      <c r="I7" s="7" t="str">
        <f>MID(H7,5,11)</f>
        <v>Jan 13 2015</v>
      </c>
      <c r="J7" t="str">
        <f>CONCATENATE(UPPER(B7),UPPER(D7),RIGHT(I7,4),UPPER(E7))</f>
        <v>SEDWBS2015PA</v>
      </c>
    </row>
    <row r="8" spans="1:10" x14ac:dyDescent="0.25">
      <c r="A8" t="s">
        <v>5</v>
      </c>
      <c r="B8" t="str">
        <f>VLOOKUP(A8,A$54:B$58,2)</f>
        <v>SUV</v>
      </c>
      <c r="C8" t="s">
        <v>76</v>
      </c>
      <c r="D8" t="str">
        <f>LEFT(C8,3)</f>
        <v>1gn</v>
      </c>
      <c r="E8" t="s">
        <v>103</v>
      </c>
      <c r="F8" t="s">
        <v>9</v>
      </c>
      <c r="G8" s="6">
        <v>59900</v>
      </c>
      <c r="H8" t="s">
        <v>28</v>
      </c>
      <c r="I8" s="7" t="str">
        <f>MID(H8,5,11)</f>
        <v>Dec 18 2014</v>
      </c>
      <c r="J8" t="str">
        <f>CONCATENATE(UPPER(B8),UPPER(D8),RIGHT(I8,4),UPPER(E8))</f>
        <v>SUV1GN2014TN</v>
      </c>
    </row>
    <row r="9" spans="1:10" x14ac:dyDescent="0.25">
      <c r="A9" t="s">
        <v>5</v>
      </c>
      <c r="B9" t="str">
        <f>VLOOKUP(A9,A$54:B$58,2)</f>
        <v>SUV</v>
      </c>
      <c r="C9" t="s">
        <v>88</v>
      </c>
      <c r="D9" t="str">
        <f>LEFT(C9,3)</f>
        <v>5ux</v>
      </c>
      <c r="E9" t="s">
        <v>103</v>
      </c>
      <c r="F9" t="s">
        <v>8</v>
      </c>
      <c r="G9" s="6">
        <v>51700</v>
      </c>
      <c r="H9" t="s">
        <v>20</v>
      </c>
      <c r="I9" s="7" t="str">
        <f>MID(H9,5,11)</f>
        <v>Dec 18 2014</v>
      </c>
      <c r="J9" t="str">
        <f>CONCATENATE(UPPER(B9),UPPER(D9),RIGHT(I9,4),UPPER(E9))</f>
        <v>SUV5UX2014TN</v>
      </c>
    </row>
    <row r="10" spans="1:10" x14ac:dyDescent="0.25">
      <c r="A10" t="s">
        <v>13</v>
      </c>
      <c r="B10" t="str">
        <f>VLOOKUP(A10,A$54:B$58,2)</f>
        <v>Sed</v>
      </c>
      <c r="C10" t="s">
        <v>33</v>
      </c>
      <c r="D10" t="str">
        <f>LEFT(C10,3)</f>
        <v>wau</v>
      </c>
      <c r="E10" t="s">
        <v>101</v>
      </c>
      <c r="F10" t="s">
        <v>9</v>
      </c>
      <c r="G10" s="6">
        <v>49750</v>
      </c>
      <c r="H10" t="s">
        <v>10</v>
      </c>
      <c r="I10" s="7" t="str">
        <f>MID(H10,5,11)</f>
        <v>Dec 16 2014</v>
      </c>
      <c r="J10" t="str">
        <f>CONCATENATE(UPPER(B10),UPPER(D10),RIGHT(I10,4),UPPER(E10))</f>
        <v>SEDWAU2014TX</v>
      </c>
    </row>
    <row r="11" spans="1:10" x14ac:dyDescent="0.25">
      <c r="A11" t="s">
        <v>5</v>
      </c>
      <c r="B11" t="str">
        <f>VLOOKUP(A11,A$54:B$58,2)</f>
        <v>SUV</v>
      </c>
      <c r="C11" t="s">
        <v>69</v>
      </c>
      <c r="D11" t="str">
        <f>LEFT(C11,3)</f>
        <v>wa1</v>
      </c>
      <c r="E11" t="s">
        <v>7</v>
      </c>
      <c r="F11" t="s">
        <v>8</v>
      </c>
      <c r="G11" s="6">
        <v>47500</v>
      </c>
      <c r="H11" t="s">
        <v>70</v>
      </c>
      <c r="I11" s="7" t="str">
        <f>MID(H11,5,11)</f>
        <v>Jan 29 2015</v>
      </c>
      <c r="J11" t="str">
        <f>CONCATENATE(UPPER(B11),UPPER(D11),RIGHT(I11,4),UPPER(E11))</f>
        <v>SUVWA12015CA</v>
      </c>
    </row>
    <row r="12" spans="1:10" x14ac:dyDescent="0.25">
      <c r="A12" t="s">
        <v>46</v>
      </c>
      <c r="B12" t="str">
        <f>VLOOKUP(A12,A$54:B$58,2)</f>
        <v>Cou</v>
      </c>
      <c r="C12" t="s">
        <v>72</v>
      </c>
      <c r="D12" t="str">
        <f>LEFT(C12,3)</f>
        <v>wau</v>
      </c>
      <c r="E12" t="s">
        <v>100</v>
      </c>
      <c r="F12" t="s">
        <v>9</v>
      </c>
      <c r="G12" s="6">
        <v>44500</v>
      </c>
      <c r="H12" t="s">
        <v>28</v>
      </c>
      <c r="I12" s="7" t="str">
        <f>MID(H12,5,11)</f>
        <v>Dec 18 2014</v>
      </c>
      <c r="J12" t="str">
        <f>CONCATENATE(UPPER(B12),UPPER(D12),RIGHT(I12,4),UPPER(E12))</f>
        <v>COUWAU2014FL</v>
      </c>
    </row>
    <row r="13" spans="1:10" x14ac:dyDescent="0.25">
      <c r="A13" t="s">
        <v>46</v>
      </c>
      <c r="B13" t="str">
        <f>VLOOKUP(A13,A$54:B$58,2)</f>
        <v>Cou</v>
      </c>
      <c r="C13" t="s">
        <v>81</v>
      </c>
      <c r="D13" t="str">
        <f>LEFT(C13,3)</f>
        <v>1g6</v>
      </c>
      <c r="E13" t="s">
        <v>103</v>
      </c>
      <c r="F13" t="s">
        <v>15</v>
      </c>
      <c r="G13" s="6">
        <v>44000</v>
      </c>
      <c r="H13" t="s">
        <v>82</v>
      </c>
      <c r="I13" s="7" t="str">
        <f>MID(H13,5,11)</f>
        <v>Feb 04 2015</v>
      </c>
      <c r="J13" t="str">
        <f>CONCATENATE(UPPER(B13),UPPER(D13),RIGHT(I13,4),UPPER(E13))</f>
        <v>COU1G62015TN</v>
      </c>
    </row>
    <row r="14" spans="1:10" x14ac:dyDescent="0.25">
      <c r="A14" t="s">
        <v>5</v>
      </c>
      <c r="B14" t="str">
        <f>VLOOKUP(A14,A$54:B$58,2)</f>
        <v>SUV</v>
      </c>
      <c r="C14" t="s">
        <v>45</v>
      </c>
      <c r="D14" t="str">
        <f>LEFT(C14,3)</f>
        <v>wa1</v>
      </c>
      <c r="E14" t="s">
        <v>101</v>
      </c>
      <c r="F14" t="s">
        <v>8</v>
      </c>
      <c r="G14" s="6">
        <v>40000</v>
      </c>
      <c r="H14" t="s">
        <v>20</v>
      </c>
      <c r="I14" s="7" t="str">
        <f>MID(H14,5,11)</f>
        <v>Dec 18 2014</v>
      </c>
      <c r="J14" t="str">
        <f>CONCATENATE(UPPER(B14),UPPER(D14),RIGHT(I14,4),UPPER(E14))</f>
        <v>SUVWA12014TX</v>
      </c>
    </row>
    <row r="15" spans="1:10" x14ac:dyDescent="0.25">
      <c r="A15" t="s">
        <v>5</v>
      </c>
      <c r="B15" t="str">
        <f>VLOOKUP(A15,A$54:B$58,2)</f>
        <v>SUV</v>
      </c>
      <c r="C15" t="s">
        <v>65</v>
      </c>
      <c r="D15" t="str">
        <f>LEFT(C15,3)</f>
        <v>5ux</v>
      </c>
      <c r="E15" t="s">
        <v>103</v>
      </c>
      <c r="F15" t="s">
        <v>15</v>
      </c>
      <c r="G15" s="6">
        <v>34000</v>
      </c>
      <c r="H15" t="s">
        <v>26</v>
      </c>
      <c r="I15" s="7" t="str">
        <f>MID(H15,5,11)</f>
        <v>Dec 16 2014</v>
      </c>
      <c r="J15" t="str">
        <f>CONCATENATE(UPPER(B15),UPPER(D15),RIGHT(I15,4),UPPER(E15))</f>
        <v>SUV5UX2014TN</v>
      </c>
    </row>
    <row r="16" spans="1:10" x14ac:dyDescent="0.25">
      <c r="A16" t="s">
        <v>59</v>
      </c>
      <c r="B16" t="str">
        <f>VLOOKUP(A16,A$54:B$58,2)</f>
        <v>Wag</v>
      </c>
      <c r="C16" t="s">
        <v>60</v>
      </c>
      <c r="D16" t="str">
        <f>LEFT(C16,3)</f>
        <v>yv4</v>
      </c>
      <c r="E16" t="s">
        <v>105</v>
      </c>
      <c r="F16" t="s">
        <v>61</v>
      </c>
      <c r="G16" s="6">
        <v>32500</v>
      </c>
      <c r="H16" t="s">
        <v>62</v>
      </c>
      <c r="I16" s="7" t="str">
        <f>MID(H16,5,11)</f>
        <v>Feb 26 2015</v>
      </c>
      <c r="J16" t="str">
        <f>CONCATENATE(UPPER(B16),UPPER(D16),RIGHT(I16,4),UPPER(E16))</f>
        <v>WAGYV42015LA</v>
      </c>
    </row>
    <row r="17" spans="1:10" x14ac:dyDescent="0.25">
      <c r="A17" t="s">
        <v>59</v>
      </c>
      <c r="B17" t="str">
        <f>VLOOKUP(A17,A$54:B$58,2)</f>
        <v>Wag</v>
      </c>
      <c r="C17" t="s">
        <v>63</v>
      </c>
      <c r="D17" t="str">
        <f>LEFT(C17,3)</f>
        <v>yv4</v>
      </c>
      <c r="E17" t="s">
        <v>101</v>
      </c>
      <c r="F17" t="s">
        <v>12</v>
      </c>
      <c r="G17" s="6">
        <v>32500</v>
      </c>
      <c r="H17" t="s">
        <v>64</v>
      </c>
      <c r="I17" s="7" t="str">
        <f>MID(H17,5,11)</f>
        <v>Feb 12 2015</v>
      </c>
      <c r="J17" t="str">
        <f>CONCATENATE(UPPER(B17),UPPER(D17),RIGHT(I17,4),UPPER(E17))</f>
        <v>WAGYV42015TX</v>
      </c>
    </row>
    <row r="18" spans="1:10" x14ac:dyDescent="0.25">
      <c r="A18" t="s">
        <v>13</v>
      </c>
      <c r="B18" t="str">
        <f>VLOOKUP(A18,A$54:B$58,2)</f>
        <v>Sed</v>
      </c>
      <c r="C18" t="s">
        <v>27</v>
      </c>
      <c r="D18" t="str">
        <f>LEFT(C18,3)</f>
        <v>wau</v>
      </c>
      <c r="E18" t="s">
        <v>100</v>
      </c>
      <c r="F18" t="s">
        <v>8</v>
      </c>
      <c r="G18" s="6">
        <v>32250</v>
      </c>
      <c r="H18" t="s">
        <v>28</v>
      </c>
      <c r="I18" s="7" t="str">
        <f>MID(H18,5,11)</f>
        <v>Dec 18 2014</v>
      </c>
      <c r="J18" t="str">
        <f>CONCATENATE(UPPER(B18),UPPER(D18),RIGHT(I18,4),UPPER(E18))</f>
        <v>SEDWAU2014FL</v>
      </c>
    </row>
    <row r="19" spans="1:10" x14ac:dyDescent="0.25">
      <c r="A19" t="s">
        <v>13</v>
      </c>
      <c r="B19" t="str">
        <f>VLOOKUP(A19,A$54:B$58,2)</f>
        <v>Sed</v>
      </c>
      <c r="C19" t="s">
        <v>77</v>
      </c>
      <c r="D19" t="str">
        <f>LEFT(C19,3)</f>
        <v>wba</v>
      </c>
      <c r="E19" t="s">
        <v>108</v>
      </c>
      <c r="F19" t="s">
        <v>9</v>
      </c>
      <c r="G19" s="6">
        <v>30500</v>
      </c>
      <c r="H19" t="s">
        <v>16</v>
      </c>
      <c r="I19" s="7" t="str">
        <f>MID(H19,5,11)</f>
        <v>Jan 15 2015</v>
      </c>
      <c r="J19" t="str">
        <f>CONCATENATE(UPPER(B19),UPPER(D19),RIGHT(I19,4),UPPER(E19))</f>
        <v>SEDWBA2015PA</v>
      </c>
    </row>
    <row r="20" spans="1:10" x14ac:dyDescent="0.25">
      <c r="A20" t="s">
        <v>13</v>
      </c>
      <c r="B20" t="str">
        <f>VLOOKUP(A20,A$54:B$58,2)</f>
        <v>Sed</v>
      </c>
      <c r="C20" t="s">
        <v>14</v>
      </c>
      <c r="D20" t="str">
        <f>LEFT(C20,3)</f>
        <v>wba</v>
      </c>
      <c r="E20" t="s">
        <v>108</v>
      </c>
      <c r="F20" t="s">
        <v>15</v>
      </c>
      <c r="G20" s="6">
        <v>30000</v>
      </c>
      <c r="H20" t="s">
        <v>16</v>
      </c>
      <c r="I20" s="7" t="str">
        <f>MID(H20,5,11)</f>
        <v>Jan 15 2015</v>
      </c>
      <c r="J20" t="str">
        <f>CONCATENATE(UPPER(B20),UPPER(D20),RIGHT(I20,4),UPPER(E20))</f>
        <v>SEDWBA2015PA</v>
      </c>
    </row>
    <row r="21" spans="1:10" x14ac:dyDescent="0.25">
      <c r="A21" t="s">
        <v>13</v>
      </c>
      <c r="B21" t="str">
        <f>VLOOKUP(A21,A$54:B$58,2)</f>
        <v>Sed</v>
      </c>
      <c r="C21" t="s">
        <v>52</v>
      </c>
      <c r="D21" t="str">
        <f>LEFT(C21,3)</f>
        <v>wba</v>
      </c>
      <c r="E21" t="s">
        <v>7</v>
      </c>
      <c r="F21" t="s">
        <v>9</v>
      </c>
      <c r="G21" s="6">
        <v>30000</v>
      </c>
      <c r="H21" t="s">
        <v>53</v>
      </c>
      <c r="I21" s="7" t="str">
        <f>MID(H21,5,11)</f>
        <v>Feb 03 2015</v>
      </c>
      <c r="J21" t="str">
        <f>CONCATENATE(UPPER(B21),UPPER(D21),RIGHT(I21,4),UPPER(E21))</f>
        <v>SEDWBA2015CA</v>
      </c>
    </row>
    <row r="22" spans="1:10" x14ac:dyDescent="0.25">
      <c r="A22" t="s">
        <v>59</v>
      </c>
      <c r="B22" t="str">
        <f>VLOOKUP(A22,A$54:B$58,2)</f>
        <v>Wag</v>
      </c>
      <c r="C22" t="s">
        <v>86</v>
      </c>
      <c r="D22" t="str">
        <f>LEFT(C22,3)</f>
        <v>yv1</v>
      </c>
      <c r="E22" t="s">
        <v>100</v>
      </c>
      <c r="F22" t="s">
        <v>8</v>
      </c>
      <c r="G22" s="6">
        <v>30000</v>
      </c>
      <c r="H22" t="s">
        <v>20</v>
      </c>
      <c r="I22" s="7" t="str">
        <f>MID(H22,5,11)</f>
        <v>Dec 18 2014</v>
      </c>
      <c r="J22" t="str">
        <f>CONCATENATE(UPPER(B22),UPPER(D22),RIGHT(I22,4),UPPER(E22))</f>
        <v>WAGYV12014FL</v>
      </c>
    </row>
    <row r="23" spans="1:10" x14ac:dyDescent="0.25">
      <c r="A23" t="s">
        <v>59</v>
      </c>
      <c r="B23" t="str">
        <f>VLOOKUP(A23,A$54:B$58,2)</f>
        <v>Wag</v>
      </c>
      <c r="C23" t="s">
        <v>89</v>
      </c>
      <c r="D23" t="str">
        <f>LEFT(C23,3)</f>
        <v>yv1</v>
      </c>
      <c r="E23" t="s">
        <v>100</v>
      </c>
      <c r="F23" t="s">
        <v>9</v>
      </c>
      <c r="G23" s="6">
        <v>30000</v>
      </c>
      <c r="H23" t="s">
        <v>20</v>
      </c>
      <c r="I23" s="7" t="str">
        <f>MID(H23,5,11)</f>
        <v>Dec 18 2014</v>
      </c>
      <c r="J23" t="str">
        <f>CONCATENATE(UPPER(B23),UPPER(D23),RIGHT(I23,4),UPPER(E23))</f>
        <v>WAGYV12014FL</v>
      </c>
    </row>
    <row r="24" spans="1:10" x14ac:dyDescent="0.25">
      <c r="A24" t="s">
        <v>13</v>
      </c>
      <c r="B24" t="str">
        <f>VLOOKUP(A24,A$54:B$58,2)</f>
        <v>Sed</v>
      </c>
      <c r="C24" t="s">
        <v>17</v>
      </c>
      <c r="D24" t="str">
        <f>LEFT(C24,3)</f>
        <v>yv1</v>
      </c>
      <c r="E24" t="s">
        <v>110</v>
      </c>
      <c r="F24" t="s">
        <v>8</v>
      </c>
      <c r="G24" s="6">
        <v>27750</v>
      </c>
      <c r="H24" t="s">
        <v>18</v>
      </c>
      <c r="I24" s="7" t="str">
        <f>MID(H24,5,11)</f>
        <v>Jan 29 2015</v>
      </c>
      <c r="J24" t="str">
        <f>CONCATENATE(UPPER(B24),UPPER(D24),RIGHT(I24,4),UPPER(E24))</f>
        <v>SEDYV12015MD</v>
      </c>
    </row>
    <row r="25" spans="1:10" x14ac:dyDescent="0.25">
      <c r="A25" t="s">
        <v>13</v>
      </c>
      <c r="B25" t="str">
        <f>VLOOKUP(A25,A$54:B$58,2)</f>
        <v>Sed</v>
      </c>
      <c r="C25" t="s">
        <v>80</v>
      </c>
      <c r="D25" t="str">
        <f>LEFT(C25,3)</f>
        <v>wba</v>
      </c>
      <c r="E25" t="s">
        <v>103</v>
      </c>
      <c r="F25" t="s">
        <v>8</v>
      </c>
      <c r="G25" s="6">
        <v>27500</v>
      </c>
      <c r="H25" t="s">
        <v>16</v>
      </c>
      <c r="I25" s="7" t="str">
        <f>MID(H25,5,11)</f>
        <v>Jan 15 2015</v>
      </c>
      <c r="J25" t="str">
        <f>CONCATENATE(UPPER(B25),UPPER(D25),RIGHT(I25,4),UPPER(E25))</f>
        <v>SEDWBA2015TN</v>
      </c>
    </row>
    <row r="26" spans="1:10" x14ac:dyDescent="0.25">
      <c r="A26" t="s">
        <v>13</v>
      </c>
      <c r="B26" t="str">
        <f>VLOOKUP(A26,A$54:B$58,2)</f>
        <v>Sed</v>
      </c>
      <c r="C26" t="s">
        <v>55</v>
      </c>
      <c r="D26" t="str">
        <f>LEFT(C26,3)</f>
        <v>wau</v>
      </c>
      <c r="E26" t="s">
        <v>103</v>
      </c>
      <c r="F26" t="s">
        <v>15</v>
      </c>
      <c r="G26" s="6">
        <v>23750</v>
      </c>
      <c r="H26" t="s">
        <v>20</v>
      </c>
      <c r="I26" s="7" t="str">
        <f>MID(H26,5,11)</f>
        <v>Dec 18 2014</v>
      </c>
      <c r="J26" t="str">
        <f>CONCATENATE(UPPER(B26),UPPER(D26),RIGHT(I26,4),UPPER(E26))</f>
        <v>SEDWAU2014TN</v>
      </c>
    </row>
    <row r="27" spans="1:10" x14ac:dyDescent="0.25">
      <c r="A27" t="s">
        <v>5</v>
      </c>
      <c r="B27" t="str">
        <f>VLOOKUP(A27,A$54:B$58,2)</f>
        <v>SUV</v>
      </c>
      <c r="C27" t="s">
        <v>6</v>
      </c>
      <c r="D27" t="str">
        <f>LEFT(C27,3)</f>
        <v>5xy</v>
      </c>
      <c r="E27" t="s">
        <v>7</v>
      </c>
      <c r="F27" t="s">
        <v>8</v>
      </c>
      <c r="G27" s="6">
        <v>21500</v>
      </c>
      <c r="H27" t="s">
        <v>10</v>
      </c>
      <c r="I27" s="7" t="str">
        <f>MID(H27,5,11)</f>
        <v>Dec 16 2014</v>
      </c>
      <c r="J27" t="str">
        <f>CONCATENATE(UPPER(B27),UPPER(D27),RIGHT(I27,4),UPPER(E27))</f>
        <v>SUV5XY2014CA</v>
      </c>
    </row>
    <row r="28" spans="1:10" x14ac:dyDescent="0.25">
      <c r="A28" t="s">
        <v>5</v>
      </c>
      <c r="B28" t="str">
        <f>VLOOKUP(A28,A$54:B$58,2)</f>
        <v>SUV</v>
      </c>
      <c r="C28" t="s">
        <v>11</v>
      </c>
      <c r="D28" t="str">
        <f>LEFT(C28,3)</f>
        <v>5xy</v>
      </c>
      <c r="E28" t="s">
        <v>109</v>
      </c>
      <c r="F28" t="s">
        <v>8</v>
      </c>
      <c r="G28" s="6">
        <v>21500</v>
      </c>
      <c r="H28" t="s">
        <v>10</v>
      </c>
      <c r="I28" s="7" t="str">
        <f>MID(H28,5,11)</f>
        <v>Dec 16 2014</v>
      </c>
      <c r="J28" t="str">
        <f>CONCATENATE(UPPER(B28),UPPER(D28),RIGHT(I28,4),UPPER(E28))</f>
        <v>SUV5XY2014MA</v>
      </c>
    </row>
    <row r="29" spans="1:10" x14ac:dyDescent="0.25">
      <c r="A29" t="s">
        <v>5</v>
      </c>
      <c r="B29" t="str">
        <f>VLOOKUP(A29,A$54:B$58,2)</f>
        <v>SUV</v>
      </c>
      <c r="C29" t="s">
        <v>38</v>
      </c>
      <c r="D29" t="str">
        <f>LEFT(C29,3)</f>
        <v>5xy</v>
      </c>
      <c r="E29" t="s">
        <v>100</v>
      </c>
      <c r="F29" t="s">
        <v>39</v>
      </c>
      <c r="G29" s="6">
        <v>21500</v>
      </c>
      <c r="H29" t="s">
        <v>10</v>
      </c>
      <c r="I29" s="7" t="str">
        <f>MID(H29,5,11)</f>
        <v>Dec 16 2014</v>
      </c>
      <c r="J29" t="str">
        <f>CONCATENATE(UPPER(B29),UPPER(D29),RIGHT(I29,4),UPPER(E29))</f>
        <v>SUV5XY2014FL</v>
      </c>
    </row>
    <row r="30" spans="1:10" x14ac:dyDescent="0.25">
      <c r="A30" t="s">
        <v>13</v>
      </c>
      <c r="B30" t="str">
        <f>VLOOKUP(A30,A$54:B$58,2)</f>
        <v>Sed</v>
      </c>
      <c r="C30" t="s">
        <v>92</v>
      </c>
      <c r="D30" t="str">
        <f>LEFT(C30,3)</f>
        <v>19v</v>
      </c>
      <c r="E30" t="s">
        <v>7</v>
      </c>
      <c r="F30" t="s">
        <v>15</v>
      </c>
      <c r="G30" s="6">
        <v>21250</v>
      </c>
      <c r="H30" t="s">
        <v>28</v>
      </c>
      <c r="I30" s="7" t="str">
        <f>MID(H30,5,11)</f>
        <v>Dec 18 2014</v>
      </c>
      <c r="J30" t="str">
        <f>CONCATENATE(UPPER(B30),UPPER(D30),RIGHT(I30,4),UPPER(E30))</f>
        <v>SED19V2014CA</v>
      </c>
    </row>
    <row r="31" spans="1:10" x14ac:dyDescent="0.25">
      <c r="A31" t="s">
        <v>5</v>
      </c>
      <c r="B31" t="str">
        <f>VLOOKUP(A31,A$54:B$58,2)</f>
        <v>SUV</v>
      </c>
      <c r="C31" t="s">
        <v>73</v>
      </c>
      <c r="D31" t="str">
        <f>LEFT(C31,3)</f>
        <v>5xy</v>
      </c>
      <c r="E31" t="s">
        <v>7</v>
      </c>
      <c r="F31" t="s">
        <v>15</v>
      </c>
      <c r="G31" s="6">
        <v>21000</v>
      </c>
      <c r="H31" t="s">
        <v>10</v>
      </c>
      <c r="I31" s="7" t="str">
        <f>MID(H31,5,11)</f>
        <v>Dec 16 2014</v>
      </c>
      <c r="J31" t="str">
        <f>CONCATENATE(UPPER(B31),UPPER(D31),RIGHT(I31,4),UPPER(E31))</f>
        <v>SUV5XY2014CA</v>
      </c>
    </row>
    <row r="32" spans="1:10" x14ac:dyDescent="0.25">
      <c r="A32" t="s">
        <v>5</v>
      </c>
      <c r="B32" t="str">
        <f>VLOOKUP(A32,A$54:B$58,2)</f>
        <v>SUV</v>
      </c>
      <c r="C32" t="s">
        <v>71</v>
      </c>
      <c r="D32" t="str">
        <f>LEFT(C32,3)</f>
        <v>5xy</v>
      </c>
      <c r="E32" t="s">
        <v>107</v>
      </c>
      <c r="F32" t="s">
        <v>31</v>
      </c>
      <c r="G32" s="6">
        <v>20750</v>
      </c>
      <c r="H32" t="s">
        <v>10</v>
      </c>
      <c r="I32" s="7" t="str">
        <f>MID(H32,5,11)</f>
        <v>Dec 16 2014</v>
      </c>
      <c r="J32" t="str">
        <f>CONCATENATE(UPPER(B32),UPPER(D32),RIGHT(I32,4),UPPER(E32))</f>
        <v>SUV5XY2014OH</v>
      </c>
    </row>
    <row r="33" spans="1:10" x14ac:dyDescent="0.25">
      <c r="A33" t="s">
        <v>46</v>
      </c>
      <c r="B33" t="str">
        <f>VLOOKUP(A33,A$54:B$58,2)</f>
        <v>Cou</v>
      </c>
      <c r="C33" t="s">
        <v>66</v>
      </c>
      <c r="D33" t="str">
        <f>LEFT(C33,3)</f>
        <v>2g1</v>
      </c>
      <c r="E33" t="s">
        <v>106</v>
      </c>
      <c r="F33" t="s">
        <v>15</v>
      </c>
      <c r="G33" s="6">
        <v>19500</v>
      </c>
      <c r="H33" t="s">
        <v>28</v>
      </c>
      <c r="I33" s="7" t="str">
        <f>MID(H33,5,11)</f>
        <v>Dec 18 2014</v>
      </c>
      <c r="J33" t="str">
        <f>CONCATENATE(UPPER(B33),UPPER(D33),RIGHT(I33,4),UPPER(E33))</f>
        <v>COU2G12014CO</v>
      </c>
    </row>
    <row r="34" spans="1:10" x14ac:dyDescent="0.25">
      <c r="A34" t="s">
        <v>13</v>
      </c>
      <c r="B34" t="str">
        <f>VLOOKUP(A34,A$54:B$58,2)</f>
        <v>Sed</v>
      </c>
      <c r="C34" t="s">
        <v>34</v>
      </c>
      <c r="D34" t="str">
        <f>LEFT(C34,3)</f>
        <v>5xx</v>
      </c>
      <c r="E34" t="s">
        <v>100</v>
      </c>
      <c r="F34" t="s">
        <v>31</v>
      </c>
      <c r="G34" s="6">
        <v>17700</v>
      </c>
      <c r="H34" t="s">
        <v>35</v>
      </c>
      <c r="I34" s="7" t="str">
        <f>MID(H34,5,11)</f>
        <v>Dec 16 2014</v>
      </c>
      <c r="J34" t="str">
        <f>CONCATENATE(UPPER(B34),UPPER(D34),RIGHT(I34,4),UPPER(E34))</f>
        <v>SED5XX2014FL</v>
      </c>
    </row>
    <row r="35" spans="1:10" x14ac:dyDescent="0.25">
      <c r="A35" t="s">
        <v>29</v>
      </c>
      <c r="B35" t="str">
        <f>VLOOKUP(A35,A$54:B$58,2)</f>
        <v>Con</v>
      </c>
      <c r="C35" t="s">
        <v>30</v>
      </c>
      <c r="D35" t="str">
        <f>LEFT(C35,3)</f>
        <v>2g1</v>
      </c>
      <c r="E35" t="s">
        <v>101</v>
      </c>
      <c r="F35" t="s">
        <v>31</v>
      </c>
      <c r="G35" s="6">
        <v>17500</v>
      </c>
      <c r="H35" t="s">
        <v>32</v>
      </c>
      <c r="I35" s="7" t="str">
        <f>MID(H35,5,11)</f>
        <v>Jan 20 2015</v>
      </c>
      <c r="J35" t="str">
        <f>CONCATENATE(UPPER(B35),UPPER(D35),RIGHT(I35,4),UPPER(E35))</f>
        <v>CON2G12015TX</v>
      </c>
    </row>
    <row r="36" spans="1:10" x14ac:dyDescent="0.25">
      <c r="A36" t="s">
        <v>46</v>
      </c>
      <c r="B36" t="str">
        <f>VLOOKUP(A36,A$54:B$58,2)</f>
        <v>Cou</v>
      </c>
      <c r="C36" t="s">
        <v>47</v>
      </c>
      <c r="D36" t="str">
        <f>LEFT(C36,3)</f>
        <v>2g1</v>
      </c>
      <c r="E36" t="s">
        <v>103</v>
      </c>
      <c r="F36" t="s">
        <v>9</v>
      </c>
      <c r="G36" s="6">
        <v>17000</v>
      </c>
      <c r="H36" t="s">
        <v>48</v>
      </c>
      <c r="I36" s="7" t="str">
        <f>MID(H36,5,11)</f>
        <v>Dec 30 2014</v>
      </c>
      <c r="J36" t="str">
        <f>CONCATENATE(UPPER(B36),UPPER(D36),RIGHT(I36,4),UPPER(E36))</f>
        <v>COU2G12014TN</v>
      </c>
    </row>
    <row r="37" spans="1:10" x14ac:dyDescent="0.25">
      <c r="A37" t="s">
        <v>29</v>
      </c>
      <c r="B37" t="str">
        <f>VLOOKUP(A37,A$54:B$58,2)</f>
        <v>Con</v>
      </c>
      <c r="C37" t="s">
        <v>54</v>
      </c>
      <c r="D37" t="str">
        <f>LEFT(C37,3)</f>
        <v>2g1</v>
      </c>
      <c r="E37" t="s">
        <v>101</v>
      </c>
      <c r="F37" t="s">
        <v>9</v>
      </c>
      <c r="G37" s="6">
        <v>14700</v>
      </c>
      <c r="H37" t="s">
        <v>35</v>
      </c>
      <c r="I37" s="7" t="str">
        <f>MID(H37,5,11)</f>
        <v>Dec 16 2014</v>
      </c>
      <c r="J37" t="str">
        <f>CONCATENATE(UPPER(B37),UPPER(D37),RIGHT(I37,4),UPPER(E37))</f>
        <v>CON2G12014TX</v>
      </c>
    </row>
    <row r="38" spans="1:10" x14ac:dyDescent="0.25">
      <c r="A38" t="s">
        <v>13</v>
      </c>
      <c r="B38" t="str">
        <f>VLOOKUP(A38,A$54:B$58,2)</f>
        <v>Sed</v>
      </c>
      <c r="C38" t="s">
        <v>42</v>
      </c>
      <c r="D38" t="str">
        <f>LEFT(C38,3)</f>
        <v>1n4</v>
      </c>
      <c r="E38" t="s">
        <v>101</v>
      </c>
      <c r="F38" t="s">
        <v>9</v>
      </c>
      <c r="G38" s="6">
        <v>14100</v>
      </c>
      <c r="H38" t="s">
        <v>43</v>
      </c>
      <c r="I38" s="7" t="str">
        <f>MID(H38,5,11)</f>
        <v>Dec 23 2014</v>
      </c>
      <c r="J38" t="str">
        <f>CONCATENATE(UPPER(B38),UPPER(D38),RIGHT(I38,4),UPPER(E38))</f>
        <v>SED1N42014TX</v>
      </c>
    </row>
    <row r="39" spans="1:10" x14ac:dyDescent="0.25">
      <c r="A39" t="s">
        <v>13</v>
      </c>
      <c r="B39" t="str">
        <f>VLOOKUP(A39,A$54:B$58,2)</f>
        <v>Sed</v>
      </c>
      <c r="C39" t="s">
        <v>90</v>
      </c>
      <c r="D39" t="str">
        <f>LEFT(C39,3)</f>
        <v>1g1</v>
      </c>
      <c r="E39" t="s">
        <v>108</v>
      </c>
      <c r="F39" t="s">
        <v>39</v>
      </c>
      <c r="G39" s="6">
        <v>13000</v>
      </c>
      <c r="H39" t="s">
        <v>91</v>
      </c>
      <c r="I39" s="7" t="str">
        <f>MID(H39,5,11)</f>
        <v>Jan 22 2015</v>
      </c>
      <c r="J39" t="str">
        <f>CONCATENATE(UPPER(B39),UPPER(D39),RIGHT(I39,4),UPPER(E39))</f>
        <v>SED1G12015PA</v>
      </c>
    </row>
    <row r="40" spans="1:10" x14ac:dyDescent="0.25">
      <c r="A40" t="s">
        <v>13</v>
      </c>
      <c r="B40" t="str">
        <f>VLOOKUP(A40,A$54:B$58,2)</f>
        <v>Sed</v>
      </c>
      <c r="C40" t="s">
        <v>36</v>
      </c>
      <c r="D40" t="str">
        <f>LEFT(C40,3)</f>
        <v>3fa</v>
      </c>
      <c r="E40" t="s">
        <v>100</v>
      </c>
      <c r="F40" t="s">
        <v>8</v>
      </c>
      <c r="G40" s="6">
        <v>12000</v>
      </c>
      <c r="H40" t="s">
        <v>37</v>
      </c>
      <c r="I40" s="7" t="str">
        <f>MID(H40,5,11)</f>
        <v>Jan 13 2015</v>
      </c>
      <c r="J40" t="str">
        <f>CONCATENATE(UPPER(B40),UPPER(D40),RIGHT(I40,4),UPPER(E40))</f>
        <v>SED3FA2015FL</v>
      </c>
    </row>
    <row r="41" spans="1:10" x14ac:dyDescent="0.25">
      <c r="A41" t="s">
        <v>13</v>
      </c>
      <c r="B41" t="str">
        <f>VLOOKUP(A41,A$54:B$58,2)</f>
        <v>Sed</v>
      </c>
      <c r="C41" t="s">
        <v>67</v>
      </c>
      <c r="D41" t="str">
        <f>LEFT(C41,3)</f>
        <v>1g1</v>
      </c>
      <c r="E41" t="s">
        <v>103</v>
      </c>
      <c r="F41" t="s">
        <v>15</v>
      </c>
      <c r="G41" s="6">
        <v>11500</v>
      </c>
      <c r="H41" t="s">
        <v>68</v>
      </c>
      <c r="I41" s="7" t="str">
        <f>MID(H41,5,11)</f>
        <v>Dec 30 2014</v>
      </c>
      <c r="J41" t="str">
        <f>CONCATENATE(UPPER(B41),UPPER(D41),RIGHT(I41,4),UPPER(E41))</f>
        <v>SED1G12014TN</v>
      </c>
    </row>
    <row r="42" spans="1:10" x14ac:dyDescent="0.25">
      <c r="A42" t="s">
        <v>13</v>
      </c>
      <c r="B42" t="str">
        <f>VLOOKUP(A42,A$54:B$58,2)</f>
        <v>Sed</v>
      </c>
      <c r="C42" t="s">
        <v>21</v>
      </c>
      <c r="D42" t="str">
        <f>LEFT(C42,3)</f>
        <v>1n4</v>
      </c>
      <c r="E42" t="s">
        <v>103</v>
      </c>
      <c r="F42" t="s">
        <v>15</v>
      </c>
      <c r="G42" s="6">
        <v>10900</v>
      </c>
      <c r="H42" t="s">
        <v>22</v>
      </c>
      <c r="I42" s="7" t="str">
        <f>MID(H42,5,11)</f>
        <v>Dec 30 2014</v>
      </c>
      <c r="J42" t="str">
        <f>CONCATENATE(UPPER(B42),UPPER(D42),RIGHT(I42,4),UPPER(E42))</f>
        <v>SED1N42014TN</v>
      </c>
    </row>
    <row r="43" spans="1:10" x14ac:dyDescent="0.25">
      <c r="A43" t="s">
        <v>13</v>
      </c>
      <c r="B43" t="str">
        <f>VLOOKUP(A43,A$54:B$58,2)</f>
        <v>Sed</v>
      </c>
      <c r="C43" t="s">
        <v>40</v>
      </c>
      <c r="D43" t="str">
        <f>LEFT(C43,3)</f>
        <v>1g1</v>
      </c>
      <c r="E43" t="s">
        <v>101</v>
      </c>
      <c r="F43" t="s">
        <v>41</v>
      </c>
      <c r="G43" s="6">
        <v>10600</v>
      </c>
      <c r="H43" t="s">
        <v>35</v>
      </c>
      <c r="I43" s="7" t="str">
        <f>MID(H43,5,11)</f>
        <v>Dec 16 2014</v>
      </c>
      <c r="J43" t="str">
        <f>CONCATENATE(UPPER(B43),UPPER(D43),RIGHT(I43,4),UPPER(E43))</f>
        <v>SED1G12014TX</v>
      </c>
    </row>
    <row r="44" spans="1:10" x14ac:dyDescent="0.25">
      <c r="A44" t="s">
        <v>13</v>
      </c>
      <c r="B44" t="str">
        <f>VLOOKUP(A44,A$54:B$58,2)</f>
        <v>Sed</v>
      </c>
      <c r="C44" t="s">
        <v>83</v>
      </c>
      <c r="D44" t="str">
        <f>LEFT(C44,3)</f>
        <v>5np</v>
      </c>
      <c r="E44" t="s">
        <v>103</v>
      </c>
      <c r="F44" t="s">
        <v>39</v>
      </c>
      <c r="G44" s="6">
        <v>10000</v>
      </c>
      <c r="H44" t="s">
        <v>28</v>
      </c>
      <c r="I44" s="7" t="str">
        <f>MID(H44,5,11)</f>
        <v>Dec 18 2014</v>
      </c>
      <c r="J44" t="str">
        <f>CONCATENATE(UPPER(B44),UPPER(D44),RIGHT(I44,4),UPPER(E44))</f>
        <v>SED5NP2014TN</v>
      </c>
    </row>
    <row r="45" spans="1:10" x14ac:dyDescent="0.25">
      <c r="A45" t="s">
        <v>13</v>
      </c>
      <c r="B45" t="str">
        <f>VLOOKUP(A45,A$54:B$58,2)</f>
        <v>Sed</v>
      </c>
      <c r="C45" t="s">
        <v>25</v>
      </c>
      <c r="D45" t="str">
        <f>LEFT(C45,3)</f>
        <v>1g1</v>
      </c>
      <c r="E45" t="s">
        <v>101</v>
      </c>
      <c r="F45" t="s">
        <v>9</v>
      </c>
      <c r="G45" s="6">
        <v>9800</v>
      </c>
      <c r="H45" t="s">
        <v>26</v>
      </c>
      <c r="I45" s="7" t="str">
        <f>MID(H45,5,11)</f>
        <v>Dec 16 2014</v>
      </c>
      <c r="J45" t="str">
        <f>CONCATENATE(UPPER(B45),UPPER(D45),RIGHT(I45,4),UPPER(E45))</f>
        <v>SED1G12014TX</v>
      </c>
    </row>
    <row r="46" spans="1:10" x14ac:dyDescent="0.25">
      <c r="A46" t="s">
        <v>13</v>
      </c>
      <c r="B46" t="str">
        <f>VLOOKUP(A46,A$54:B$58,2)</f>
        <v>Sed</v>
      </c>
      <c r="C46" t="s">
        <v>74</v>
      </c>
      <c r="D46" t="str">
        <f>LEFT(C46,3)</f>
        <v>1g4</v>
      </c>
      <c r="E46" t="s">
        <v>7</v>
      </c>
      <c r="F46" t="s">
        <v>15</v>
      </c>
      <c r="G46" s="6">
        <v>9200</v>
      </c>
      <c r="H46" t="s">
        <v>75</v>
      </c>
      <c r="I46" s="7" t="str">
        <f>MID(H46,5,11)</f>
        <v>Jan 06 2015</v>
      </c>
      <c r="J46" t="str">
        <f>CONCATENATE(UPPER(B46),UPPER(D46),RIGHT(I46,4),UPPER(E46))</f>
        <v>SED1G42015CA</v>
      </c>
    </row>
    <row r="47" spans="1:10" x14ac:dyDescent="0.25">
      <c r="A47" t="s">
        <v>13</v>
      </c>
      <c r="B47" t="str">
        <f>VLOOKUP(A47,A$54:B$58,2)</f>
        <v>Sed</v>
      </c>
      <c r="C47" t="s">
        <v>58</v>
      </c>
      <c r="D47" t="str">
        <f>LEFT(C47,3)</f>
        <v>5np</v>
      </c>
      <c r="E47" t="s">
        <v>100</v>
      </c>
      <c r="F47" t="s">
        <v>39</v>
      </c>
      <c r="G47" s="6">
        <v>8500</v>
      </c>
      <c r="H47" t="s">
        <v>26</v>
      </c>
      <c r="I47" s="7" t="str">
        <f>MID(H47,5,11)</f>
        <v>Dec 16 2014</v>
      </c>
      <c r="J47" t="str">
        <f>CONCATENATE(UPPER(B47),UPPER(D47),RIGHT(I47,4),UPPER(E47))</f>
        <v>SED5NP2014FL</v>
      </c>
    </row>
    <row r="48" spans="1:10" x14ac:dyDescent="0.25">
      <c r="A48" t="s">
        <v>13</v>
      </c>
      <c r="B48" t="str">
        <f>VLOOKUP(A48,A$54:B$58,2)</f>
        <v>Sed</v>
      </c>
      <c r="C48" t="s">
        <v>50</v>
      </c>
      <c r="D48" t="str">
        <f>LEFT(C48,3)</f>
        <v>2g1</v>
      </c>
      <c r="E48" t="s">
        <v>100</v>
      </c>
      <c r="F48" t="s">
        <v>39</v>
      </c>
      <c r="G48" s="6">
        <v>7200</v>
      </c>
      <c r="H48" t="s">
        <v>51</v>
      </c>
      <c r="I48" s="7" t="str">
        <f>MID(H48,5,11)</f>
        <v>Jul 07 2015</v>
      </c>
      <c r="J48" t="str">
        <f>CONCATENATE(UPPER(B48),UPPER(D48),RIGHT(I48,4),UPPER(E48))</f>
        <v>SED2G12015FL</v>
      </c>
    </row>
    <row r="49" spans="1:10" x14ac:dyDescent="0.25">
      <c r="A49" t="s">
        <v>13</v>
      </c>
      <c r="B49" t="str">
        <f>VLOOKUP(A49,A$54:B$58,2)</f>
        <v>Sed</v>
      </c>
      <c r="C49" t="s">
        <v>44</v>
      </c>
      <c r="D49" t="str">
        <f>LEFT(C49,3)</f>
        <v>5np</v>
      </c>
      <c r="E49" t="s">
        <v>102</v>
      </c>
      <c r="F49" t="s">
        <v>31</v>
      </c>
      <c r="G49" s="6">
        <v>4200</v>
      </c>
      <c r="H49" t="s">
        <v>26</v>
      </c>
      <c r="I49" s="7" t="str">
        <f>MID(H49,5,11)</f>
        <v>Dec 16 2014</v>
      </c>
      <c r="J49" t="str">
        <f>CONCATENATE(UPPER(B49),UPPER(D49),RIGHT(I49,4),UPPER(E49))</f>
        <v>SED5NP2014MO</v>
      </c>
    </row>
    <row r="50" spans="1:10" x14ac:dyDescent="0.25">
      <c r="A50" t="s">
        <v>13</v>
      </c>
      <c r="B50" t="str">
        <f>VLOOKUP(A50,A$54:B$58,2)</f>
        <v>Sed</v>
      </c>
      <c r="C50" t="s">
        <v>87</v>
      </c>
      <c r="D50" t="str">
        <f>LEFT(C50,3)</f>
        <v>1g1</v>
      </c>
      <c r="E50" t="s">
        <v>7</v>
      </c>
      <c r="F50" t="s">
        <v>8</v>
      </c>
      <c r="G50" s="6">
        <v>2000</v>
      </c>
      <c r="H50" t="s">
        <v>26</v>
      </c>
      <c r="I50" s="7" t="str">
        <f>MID(H50,5,11)</f>
        <v>Dec 16 2014</v>
      </c>
      <c r="J50" t="str">
        <f>CONCATENATE(UPPER(B50),UPPER(D50),RIGHT(I50,4),UPPER(E50))</f>
        <v>SED1G12014CA</v>
      </c>
    </row>
    <row r="53" spans="1:10" x14ac:dyDescent="0.25">
      <c r="A53" s="4" t="s">
        <v>99</v>
      </c>
    </row>
    <row r="54" spans="1:10" x14ac:dyDescent="0.25">
      <c r="A54" s="2" t="s">
        <v>29</v>
      </c>
      <c r="B54" t="str">
        <f>LEFT(A54,3)</f>
        <v>Con</v>
      </c>
    </row>
    <row r="55" spans="1:10" x14ac:dyDescent="0.25">
      <c r="A55" s="2" t="s">
        <v>46</v>
      </c>
      <c r="B55" t="str">
        <f t="shared" ref="B55:B58" si="0">LEFT(A55,3)</f>
        <v>Cou</v>
      </c>
    </row>
    <row r="56" spans="1:10" x14ac:dyDescent="0.25">
      <c r="A56" s="2" t="s">
        <v>13</v>
      </c>
      <c r="B56" t="str">
        <f t="shared" si="0"/>
        <v>Sed</v>
      </c>
    </row>
    <row r="57" spans="1:10" x14ac:dyDescent="0.25">
      <c r="A57" s="2" t="s">
        <v>5</v>
      </c>
      <c r="B57" t="str">
        <f t="shared" si="0"/>
        <v>SUV</v>
      </c>
    </row>
    <row r="58" spans="1:10" x14ac:dyDescent="0.25">
      <c r="A58" s="2" t="s">
        <v>59</v>
      </c>
      <c r="B58" t="str">
        <f t="shared" si="0"/>
        <v>Wag</v>
      </c>
    </row>
  </sheetData>
  <sortState xmlns:xlrd2="http://schemas.microsoft.com/office/spreadsheetml/2017/richdata2" ref="A2:J50">
    <sortCondition descending="1" ref="G2:G50"/>
  </sortState>
  <conditionalFormatting sqref="G2:G5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</dc:creator>
  <cp:lastModifiedBy>Augusto</cp:lastModifiedBy>
  <dcterms:created xsi:type="dcterms:W3CDTF">2025-01-21T19:49:45Z</dcterms:created>
  <dcterms:modified xsi:type="dcterms:W3CDTF">2025-01-22T00:42:22Z</dcterms:modified>
</cp:coreProperties>
</file>